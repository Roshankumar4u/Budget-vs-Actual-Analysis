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Performance" sheetId="1" state="visible" r:id="rId1"/>
    <sheet xmlns:r="http://schemas.openxmlformats.org/officeDocument/2006/relationships" name="Budget vs Act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Department</t>
        </is>
      </c>
      <c r="C1" t="inlineStr">
        <is>
          <t>Revenue</t>
        </is>
      </c>
      <c r="D1" t="inlineStr">
        <is>
          <t>Expenses</t>
        </is>
      </c>
      <c r="E1" t="inlineStr">
        <is>
          <t>Profit</t>
        </is>
      </c>
      <c r="F1" t="inlineStr">
        <is>
          <t>Profit Margin %</t>
        </is>
      </c>
      <c r="G1" t="inlineStr">
        <is>
          <t>Revenue Growth %</t>
        </is>
      </c>
    </row>
    <row r="2">
      <c r="A2" t="inlineStr">
        <is>
          <t>Jan-2024</t>
        </is>
      </c>
      <c r="B2" t="inlineStr">
        <is>
          <t>Sales</t>
        </is>
      </c>
      <c r="C2" t="n">
        <v>500000</v>
      </c>
      <c r="D2" t="n">
        <v>320000</v>
      </c>
      <c r="E2">
        <f>C2-D2</f>
        <v/>
      </c>
      <c r="F2">
        <f>IF(C2=0,0,E2/C2)</f>
        <v/>
      </c>
      <c r="G2" t="inlineStr"/>
    </row>
    <row r="3">
      <c r="A3" t="inlineStr">
        <is>
          <t>Feb-2024</t>
        </is>
      </c>
      <c r="B3" t="inlineStr">
        <is>
          <t>Sales</t>
        </is>
      </c>
      <c r="C3" t="n">
        <v>520000</v>
      </c>
      <c r="D3" t="n">
        <v>330000</v>
      </c>
      <c r="E3">
        <f>C3-D3</f>
        <v/>
      </c>
      <c r="F3">
        <f>IF(C3=0,0,E3/C3)</f>
        <v/>
      </c>
      <c r="G3">
        <f>(C3-C2)/C2</f>
        <v/>
      </c>
    </row>
    <row r="4">
      <c r="A4" t="inlineStr">
        <is>
          <t>Mar-2024</t>
        </is>
      </c>
      <c r="B4" t="inlineStr">
        <is>
          <t>Sales</t>
        </is>
      </c>
      <c r="C4" t="n">
        <v>560000</v>
      </c>
      <c r="D4" t="n">
        <v>350000</v>
      </c>
      <c r="E4">
        <f>C4-D4</f>
        <v/>
      </c>
      <c r="F4">
        <f>IF(C4=0,0,E4/C4)</f>
        <v/>
      </c>
      <c r="G4">
        <f>(C4-C3)/C3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Department</t>
        </is>
      </c>
      <c r="C1" t="inlineStr">
        <is>
          <t>Budgeted Amount</t>
        </is>
      </c>
      <c r="D1" t="inlineStr">
        <is>
          <t>Actual Amount</t>
        </is>
      </c>
      <c r="E1" t="inlineStr">
        <is>
          <t>Variance</t>
        </is>
      </c>
      <c r="F1" t="inlineStr">
        <is>
          <t>Variance %</t>
        </is>
      </c>
      <c r="G1" t="inlineStr">
        <is>
          <t>Status</t>
        </is>
      </c>
    </row>
    <row r="2">
      <c r="A2" t="inlineStr">
        <is>
          <t>Jan-2024</t>
        </is>
      </c>
      <c r="B2" t="inlineStr">
        <is>
          <t>Sales</t>
        </is>
      </c>
      <c r="C2" t="n">
        <v>300000</v>
      </c>
      <c r="D2" t="n">
        <v>320000</v>
      </c>
      <c r="E2">
        <f>D2-C2</f>
        <v/>
      </c>
      <c r="F2">
        <f>IF(C2=0,0,E2/C2)</f>
        <v/>
      </c>
      <c r="G2">
        <f>IF(E2&gt;0,"Over Budget","Under Budget")</f>
        <v/>
      </c>
    </row>
    <row r="3">
      <c r="A3" t="inlineStr">
        <is>
          <t>Feb-2024</t>
        </is>
      </c>
      <c r="B3" t="inlineStr">
        <is>
          <t>Sales</t>
        </is>
      </c>
      <c r="C3" t="n">
        <v>310000</v>
      </c>
      <c r="D3" t="n">
        <v>305000</v>
      </c>
      <c r="E3">
        <f>D3-C3</f>
        <v/>
      </c>
      <c r="F3">
        <f>IF(C3=0,0,E3/C3)</f>
        <v/>
      </c>
      <c r="G3">
        <f>IF(E3&gt;0,"Over Budget","Under Budget")</f>
        <v/>
      </c>
    </row>
    <row r="4">
      <c r="A4" t="inlineStr">
        <is>
          <t>Mar-2024</t>
        </is>
      </c>
      <c r="B4" t="inlineStr">
        <is>
          <t>Sales</t>
        </is>
      </c>
      <c r="C4" t="n">
        <v>320000</v>
      </c>
      <c r="D4" t="n">
        <v>330000</v>
      </c>
      <c r="E4">
        <f>D4-C4</f>
        <v/>
      </c>
      <c r="F4">
        <f>IF(C4=0,0,E4/C4)</f>
        <v/>
      </c>
      <c r="G4">
        <f>IF(E4&gt;0,"Over Budget","Under Budget")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2025-12-18T08:47:55Z</dcterms:created>
  <dcterms:modified xmlns:dcterms="http://purl.org/dc/terms/" xmlns:xsi="http://www.w3.org/2001/XMLSchema-instance" xsi:type="dcterms:W3CDTF">2025-12-18T08:47:56Z</dcterms:modified>
</cp:coreProperties>
</file>